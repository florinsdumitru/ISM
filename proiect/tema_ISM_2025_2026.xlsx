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git\ISM\proiect\"/>
    </mc:Choice>
  </mc:AlternateContent>
  <xr:revisionPtr revIDLastSave="0" documentId="13_ncr:1_{17DC74D5-EBCE-4BEA-848D-F262A3F56F90}" xr6:coauthVersionLast="47" xr6:coauthVersionMax="47" xr10:uidLastSave="{00000000-0000-0000-0000-000000000000}"/>
  <bookViews>
    <workbookView xWindow="-98" yWindow="-98" windowWidth="24196" windowHeight="14476" activeTab="1" xr2:uid="{E4BB2D8F-7608-4556-B435-FC8A6F3F02EC}"/>
  </bookViews>
  <sheets>
    <sheet name="Schedule" sheetId="1" r:id="rId1"/>
    <sheet name="Tem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 l="1"/>
  <c r="B9" i="1"/>
</calcChain>
</file>

<file path=xl/sharedStrings.xml><?xml version="1.0" encoding="utf-8"?>
<sst xmlns="http://schemas.openxmlformats.org/spreadsheetml/2006/main" count="49" uniqueCount="48">
  <si>
    <t>Tema</t>
  </si>
  <si>
    <t>Total</t>
  </si>
  <si>
    <t>Punctaj</t>
  </si>
  <si>
    <t>Cerinta</t>
  </si>
  <si>
    <t>Parametrii:</t>
  </si>
  <si>
    <r>
      <t xml:space="preserve">Frecventa de castig unitate (0 dB): </t>
    </r>
    <r>
      <rPr>
        <b/>
        <sz val="11"/>
        <rFont val="Calibri"/>
        <family val="2"/>
        <scheme val="minor"/>
      </rPr>
      <t>1 MHz (caz nominal)</t>
    </r>
  </si>
  <si>
    <r>
      <rPr>
        <b/>
        <sz val="11"/>
        <color rgb="FFFF0000"/>
        <rFont val="Calibri"/>
        <family val="2"/>
        <scheme val="minor"/>
      </rPr>
      <t>Obs #1</t>
    </r>
    <r>
      <rPr>
        <sz val="11"/>
        <color rgb="FFFF0000"/>
        <rFont val="Calibri"/>
        <family val="2"/>
        <scheme val="minor"/>
      </rPr>
      <t>: Exercitiile corespunzatoare punctajului de baza sunt obligatorii, fara acestea nu discutam de bonusuri.</t>
    </r>
  </si>
  <si>
    <t>#1.1</t>
  </si>
  <si>
    <t>#1.2</t>
  </si>
  <si>
    <t>#2.1</t>
  </si>
  <si>
    <t>#2.2</t>
  </si>
  <si>
    <t>#2.3</t>
  </si>
  <si>
    <t>#2.4</t>
  </si>
  <si>
    <t>#2.5</t>
  </si>
  <si>
    <t>#3.1</t>
  </si>
  <si>
    <t>#3.2</t>
  </si>
  <si>
    <t>#3.3</t>
  </si>
  <si>
    <t>#3.4</t>
  </si>
  <si>
    <t>#3.5</t>
  </si>
  <si>
    <t>Sa se realizeze view-ul schematic si simbolul pentru amplificator.
Dimensionarea tranzistoarelor (alegerea L ,W si M) se va realiza in aceasta etapa.
Obs: Alegeti L dispozitivelor macar 4x mai mare decat L minim al tehnologiei.
Obs: Wreal = W * M, deoarece M (multiplicity) reprezinta nr. de dispozitive conectate in paralel.
Obs: aveti grija sa conectati corect substratul dispozitivelor MOS.</t>
  </si>
  <si>
    <t xml:space="preserve">Drept topologii sunt recomandate: </t>
  </si>
  <si>
    <t>Sa se ruleze o analiza .DC in configuratie de repetor. Se va face un sweep DC liniar al tensiunii de intrare de la VSS la VDD.
Monitorizati tensiunea diferentiala de intrare. Argumentati evolutia acesteia cu variatia Vin.
Obs: Se va instantia simbolul pentru amplificator in montajul de simulare.</t>
  </si>
  <si>
    <r>
      <t xml:space="preserve">Sa se ruleze o analiza .OP in configuratie de repetor pentru a obtine PSF-ul schemei asemanator cerintei #2.1.
Utilizati </t>
    </r>
    <r>
      <rPr>
        <b/>
        <sz val="11"/>
        <color theme="1"/>
        <rFont val="Calibri"/>
        <family val="2"/>
        <scheme val="minor"/>
      </rPr>
      <t xml:space="preserve">Calculator-ul </t>
    </r>
    <r>
      <rPr>
        <sz val="11"/>
        <color theme="1"/>
        <rFont val="Calibri"/>
        <family val="2"/>
        <scheme val="minor"/>
      </rPr>
      <t>pentru a obtine valoarea numerica a tensiunilor tuturor nodurilor interne si a tuturor curentilor de drena.</t>
    </r>
  </si>
  <si>
    <r>
      <t xml:space="preserve">Sa se ruleze o analiza .TRAN in configuratie de repetor asemanator cerintei de la #2.3.
Utilizati </t>
    </r>
    <r>
      <rPr>
        <b/>
        <sz val="11"/>
        <color theme="1"/>
        <rFont val="Calibri"/>
        <family val="2"/>
        <scheme val="minor"/>
      </rPr>
      <t>Calculator-ul</t>
    </r>
    <r>
      <rPr>
        <sz val="11"/>
        <color theme="1"/>
        <rFont val="Calibri"/>
        <family val="2"/>
        <scheme val="minor"/>
      </rPr>
      <t xml:space="preserve"> pentru a masurata tensiunea diferentiala de intrare la t0 = 0.00 * T, t1 = 0.25 * T, t2 = 0.5 * T, t3 = 0.75 * T si t4 = 1.00 * T.</t>
    </r>
  </si>
  <si>
    <r>
      <t xml:space="preserve">Sa se ruleze o analiza .AC pe cornere pentru a determina (folosind diagramele Bode) asemanator cerintei #2.4.
Utilizati </t>
    </r>
    <r>
      <rPr>
        <b/>
        <sz val="11"/>
        <color theme="1"/>
        <rFont val="Calibri"/>
        <family val="2"/>
        <scheme val="minor"/>
      </rPr>
      <t>Calculator-ul</t>
    </r>
    <r>
      <rPr>
        <sz val="11"/>
        <color theme="1"/>
        <rFont val="Calibri"/>
        <family val="2"/>
        <scheme val="minor"/>
      </rPr>
      <t xml:space="preserve"> pentru a masura:
a) frecventa de castig unitate
b) marginea de faza
c) marginea de castig
d) amplificarea DC</t>
    </r>
  </si>
  <si>
    <r>
      <t xml:space="preserve">Sa se ruleze o analiza .TRAN in configuratie de repetor pentru  a determina tensiunea de </t>
    </r>
    <r>
      <rPr>
        <b/>
        <sz val="11"/>
        <color theme="1"/>
        <rFont val="Calibri"/>
        <family val="2"/>
        <scheme val="minor"/>
      </rPr>
      <t xml:space="preserve">offset sistematica </t>
    </r>
    <r>
      <rPr>
        <sz val="11"/>
        <color theme="1"/>
        <rFont val="Calibri"/>
        <family val="2"/>
        <scheme val="minor"/>
      </rPr>
      <t>pentru fiecare corner.
Obs: Se va instantia simbolul pentru amplificator in montajul de simulare.
Obs: tensiunea de offset sistematica ar trebui sa fie de ordinul milivoltilor</t>
    </r>
  </si>
  <si>
    <t>TOTAL</t>
  </si>
  <si>
    <t>Se vor constitui echipe de cate 2 studenti.</t>
  </si>
  <si>
    <r>
      <t xml:space="preserve">Margine de faza: </t>
    </r>
    <r>
      <rPr>
        <b/>
        <sz val="11"/>
        <rFont val="Calibri"/>
        <family val="2"/>
        <scheme val="minor"/>
      </rPr>
      <t>60 deg (minim, in cazul nominal)</t>
    </r>
  </si>
  <si>
    <r>
      <t xml:space="preserve">Margine de castig: </t>
    </r>
    <r>
      <rPr>
        <b/>
        <sz val="11"/>
        <rFont val="Calibri"/>
        <family val="2"/>
        <scheme val="minor"/>
      </rPr>
      <t>10 dB (minim, in cazul nominal)</t>
    </r>
  </si>
  <si>
    <r>
      <t xml:space="preserve">Proces: </t>
    </r>
    <r>
      <rPr>
        <b/>
        <sz val="11"/>
        <rFont val="Calibri"/>
        <family val="2"/>
        <scheme val="minor"/>
      </rPr>
      <t>GPDK045</t>
    </r>
    <r>
      <rPr>
        <sz val="11"/>
        <rFont val="Calibri"/>
        <family val="2"/>
        <scheme val="minor"/>
      </rPr>
      <t>, cornere de proces tehnologic {</t>
    </r>
    <r>
      <rPr>
        <b/>
        <sz val="11"/>
        <rFont val="Calibri"/>
        <family val="2"/>
        <scheme val="minor"/>
      </rPr>
      <t>SS, FF, NN</t>
    </r>
    <r>
      <rPr>
        <sz val="11"/>
        <rFont val="Calibri"/>
        <family val="2"/>
        <scheme val="minor"/>
      </rPr>
      <t>}, corner statistic {</t>
    </r>
    <r>
      <rPr>
        <b/>
        <sz val="11"/>
        <rFont val="Calibri"/>
        <family val="2"/>
        <scheme val="minor"/>
      </rPr>
      <t>stat</t>
    </r>
    <r>
      <rPr>
        <sz val="11"/>
        <rFont val="Calibri"/>
        <family val="2"/>
        <scheme val="minor"/>
      </rPr>
      <t>}</t>
    </r>
  </si>
  <si>
    <r>
      <t xml:space="preserve">Tensiune de alimentare: </t>
    </r>
    <r>
      <rPr>
        <b/>
        <sz val="11"/>
        <rFont val="Calibri"/>
        <family val="2"/>
        <scheme val="minor"/>
      </rPr>
      <t>2 V</t>
    </r>
  </si>
  <si>
    <r>
      <t xml:space="preserve">Amplificare: </t>
    </r>
    <r>
      <rPr>
        <b/>
        <sz val="11"/>
        <rFont val="Calibri"/>
        <family val="2"/>
        <scheme val="minor"/>
      </rPr>
      <t>60 dB (minim)</t>
    </r>
  </si>
  <si>
    <r>
      <t xml:space="preserve">termen de predare </t>
    </r>
    <r>
      <rPr>
        <b/>
        <sz val="11"/>
        <color theme="1"/>
        <rFont val="Calibri"/>
        <family val="2"/>
        <scheme val="minor"/>
      </rPr>
      <t>Saptamana 13, Duminica, ora 23:59</t>
    </r>
  </si>
  <si>
    <r>
      <t xml:space="preserve">Sarcina: </t>
    </r>
    <r>
      <rPr>
        <b/>
        <sz val="11"/>
        <rFont val="Calibri"/>
        <family val="2"/>
        <scheme val="minor"/>
      </rPr>
      <t>5 pF (sarcina pur capacitiva)</t>
    </r>
  </si>
  <si>
    <t>a) OTA-ul cu oglinzi de curent, b) amplificatorul Miller cu 2 etaje, c) cascoda pliata</t>
  </si>
  <si>
    <r>
      <rPr>
        <b/>
        <sz val="11"/>
        <color rgb="FFFF0000"/>
        <rFont val="Calibri"/>
        <family val="2"/>
        <scheme val="minor"/>
      </rPr>
      <t>Obs #2</t>
    </r>
    <r>
      <rPr>
        <sz val="11"/>
        <color rgb="FFFF0000"/>
        <rFont val="Calibri"/>
        <family val="2"/>
        <scheme val="minor"/>
      </rPr>
      <t xml:space="preserve">: Temele copiate vor fi penalizate cu </t>
    </r>
    <r>
      <rPr>
        <b/>
        <sz val="11"/>
        <color rgb="FFFF0000"/>
        <rFont val="Calibri"/>
        <family val="2"/>
        <scheme val="minor"/>
      </rPr>
      <t>100%</t>
    </r>
    <r>
      <rPr>
        <sz val="11"/>
        <color rgb="FFFF0000"/>
        <rFont val="Calibri"/>
        <family val="2"/>
        <scheme val="minor"/>
      </rPr>
      <t xml:space="preserve"> din valoare pentru toti cei implicati.</t>
    </r>
  </si>
  <si>
    <r>
      <t xml:space="preserve">Temperatura: </t>
    </r>
    <r>
      <rPr>
        <b/>
        <sz val="11"/>
        <rFont val="Calibri"/>
        <family val="2"/>
        <scheme val="minor"/>
      </rPr>
      <t>0 - +85 deg C (-40 - +125 daca va plac provocarile)</t>
    </r>
  </si>
  <si>
    <r>
      <t xml:space="preserve">Aceasta tema are drept obiectiv proiectarea unui </t>
    </r>
    <r>
      <rPr>
        <b/>
        <sz val="11"/>
        <color theme="1"/>
        <rFont val="Calibri"/>
        <family val="2"/>
        <scheme val="minor"/>
      </rPr>
      <t>amplificator</t>
    </r>
    <r>
      <rPr>
        <sz val="11"/>
        <color theme="1"/>
        <rFont val="Calibri"/>
        <family val="2"/>
        <scheme val="minor"/>
      </rPr>
      <t>, intr-o tehnologie integrata, folosind mediul Cadence.</t>
    </r>
  </si>
  <si>
    <r>
      <t xml:space="preserve">Curent de referinta extern: </t>
    </r>
    <r>
      <rPr>
        <b/>
        <sz val="11"/>
        <rFont val="Calibri"/>
        <family val="2"/>
        <scheme val="minor"/>
      </rPr>
      <t>10 uA</t>
    </r>
    <r>
      <rPr>
        <sz val="11"/>
        <rFont val="Calibri"/>
        <family val="2"/>
        <scheme val="minor"/>
      </rPr>
      <t xml:space="preserve"> (folosind o sursa ideala)</t>
    </r>
  </si>
  <si>
    <r>
      <t xml:space="preserve">Consum total: </t>
    </r>
    <r>
      <rPr>
        <b/>
        <sz val="11"/>
        <rFont val="Calibri"/>
        <family val="2"/>
        <scheme val="minor"/>
      </rPr>
      <t>1 mA (maxim)</t>
    </r>
  </si>
  <si>
    <r>
      <t xml:space="preserve">Tensiune de offset: </t>
    </r>
    <r>
      <rPr>
        <b/>
        <sz val="11"/>
        <rFont val="Calibri"/>
        <family val="2"/>
        <scheme val="minor"/>
      </rPr>
      <t xml:space="preserve">+/- 20 mV (maxim, in analiza Monte Carlo, </t>
    </r>
    <r>
      <rPr>
        <b/>
        <u/>
        <sz val="11"/>
        <rFont val="Calibri"/>
        <family val="2"/>
        <scheme val="minor"/>
      </rPr>
      <t>doar</t>
    </r>
    <r>
      <rPr>
        <b/>
        <sz val="11"/>
        <rFont val="Calibri"/>
        <family val="2"/>
        <scheme val="minor"/>
      </rPr>
      <t xml:space="preserve"> 30 de rulari!)</t>
    </r>
  </si>
  <si>
    <t>Sa se realizeze view-ul symbol pentru amplificator.
Obs: Simbolul va avea cel putin urmatorii pini: vdd, vss, vin_pos, vin_neg, vout, i_bias*.
* Amplificatorul va fi polarizat din "exterior" folosind un curent de 10 uA, furnizat de o sursa ideala de curent.</t>
  </si>
  <si>
    <t>Sa se ruleze o analiza .OP in configuratie de repetor pentru a obtine PSF-ul schemei.
Obs: Se va instantia simbolul pentru amplificator in montajul de simulare.
Rezultatele acestei analize .OP vor fi interpretate pentru a confirma realizarea corecta a schemei.
Ex: tensiunile Vgs (NMOS) si Vsg (PMOS) coresp. geometriilor uzuale nu ar trebui sa depaseasca ~0.9 V (Vov prin proiectare se alege ~ 200 mV)
Ex: tensiunile tuturor nodurilor din schema se regasesc intre VSS si VDD.</t>
  </si>
  <si>
    <t>Sa se ruleze o analiza .TRAN in configuratie de repetor.
Obs: Se va instantia simbolul pentru amplificator in montajul de simulare.
Sa se aplice la intrare un semnal triunghiular de perioada T = 1 ms cuprins intre VSS si VDD.
Monitorizati tensiunea diferentiala de intrare. Argumentati evolutia acesteia cu variatia Vin.
Repetati pentru T = 10 us pentru a vizualiza comportamentul dinamic.
Obs: nu omiteti sarcina capacitiva de C= 5 pF</t>
  </si>
  <si>
    <t>Sa se ruleze o analiza .AC pe cornere pentru a determina (folosind diagramele Bode):
a) frecventa de castig unitate
b) marginea de faza
c) marginea de castig
d) amplificarea DC (la joasa frecventa)
Obs: Se va instantia simbolul pentru amplificator in montajul de simulare.
Obs: aveti grija ce analizati (i.e. bucla deschisa vs. bucla inchisa)!
Obs: O metoda alternativa pentru determinarea UGF, PM, GM si DC gain este utilizarea analizei STB. Aruncati un ochi prin Help-ul Cadence.
Obs: nu omiteti sarcina capacitiva de C= 5 pF</t>
  </si>
  <si>
    <r>
      <t xml:space="preserve">Sa se ruleze o analiza .DC in configuratie de repetor asemanator cerintei #2.2.
Utilizati </t>
    </r>
    <r>
      <rPr>
        <b/>
        <sz val="11"/>
        <color theme="1"/>
        <rFont val="Calibri"/>
        <family val="2"/>
        <scheme val="minor"/>
      </rPr>
      <t>Calculator-ul</t>
    </r>
    <r>
      <rPr>
        <sz val="11"/>
        <color theme="1"/>
        <rFont val="Calibri"/>
        <family val="2"/>
        <scheme val="minor"/>
      </rPr>
      <t xml:space="preserve"> pentru a obtine tensiunea de offset pentru fiecare Vin de la  0 V la 2.0 V cu un pas de 0.25 V.</t>
    </r>
  </si>
  <si>
    <r>
      <t xml:space="preserve">Sa se ruleze o analiza .TRAN de tip Monte Carlo in configuratie de repetor pentru a determina tensiunea de </t>
    </r>
    <r>
      <rPr>
        <b/>
        <sz val="11"/>
        <color theme="1"/>
        <rFont val="Calibri"/>
        <family val="2"/>
        <scheme val="minor"/>
      </rPr>
      <t>offset aleatorie</t>
    </r>
    <r>
      <rPr>
        <sz val="11"/>
        <color theme="1"/>
        <rFont val="Calibri"/>
        <family val="2"/>
        <scheme val="minor"/>
      </rPr>
      <t>.
Afisati valoarea medie, minima, maxima si abaterea standard.
Sa se afiseze histograma tensiunii de offset.
Obs: Se va instantia simbolul pentru amplificator in montajul de simulare.
Obs: rulati 30 de iteratii Monte Carlo pentru ca rezultatele sa aiba relevanta dpdv statistic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</si>
</sst>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sz val="11"/>
      <name val="Calibri"/>
      <family val="2"/>
      <scheme val="minor"/>
    </font>
    <font>
      <b/>
      <sz val="11"/>
      <name val="Calibri"/>
      <family val="2"/>
      <scheme val="minor"/>
    </font>
    <font>
      <b/>
      <u/>
      <sz val="11"/>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0" fillId="0" borderId="1" xfId="0" applyBorder="1"/>
    <xf numFmtId="0" fontId="2" fillId="0" borderId="0" xfId="0" applyFont="1"/>
    <xf numFmtId="0" fontId="0" fillId="0" borderId="2"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1" fillId="0" borderId="1" xfId="0" applyFont="1" applyBorder="1" applyAlignment="1">
      <alignment horizontal="center"/>
    </xf>
    <xf numFmtId="0" fontId="4" fillId="0" borderId="1" xfId="0" applyFont="1" applyBorder="1"/>
    <xf numFmtId="0" fontId="4" fillId="0" borderId="4" xfId="0" applyFont="1" applyBorder="1"/>
    <xf numFmtId="0" fontId="0" fillId="2" borderId="1" xfId="0" applyFill="1" applyBorder="1"/>
    <xf numFmtId="0" fontId="0" fillId="2" borderId="1" xfId="0" applyFill="1" applyBorder="1" applyAlignment="1">
      <alignment wrapText="1"/>
    </xf>
    <xf numFmtId="0" fontId="0" fillId="3" borderId="1" xfId="0" applyFill="1" applyBorder="1"/>
    <xf numFmtId="0" fontId="0" fillId="3" borderId="1" xfId="0" applyFill="1" applyBorder="1" applyAlignment="1">
      <alignment wrapText="1"/>
    </xf>
    <xf numFmtId="0" fontId="0" fillId="4" borderId="1" xfId="0" applyFill="1" applyBorder="1"/>
    <xf numFmtId="0" fontId="0" fillId="4" borderId="1" xfId="0" applyFill="1" applyBorder="1" applyAlignment="1">
      <alignment wrapText="1"/>
    </xf>
    <xf numFmtId="0" fontId="1" fillId="0" borderId="1" xfId="0" applyFont="1" applyBorder="1"/>
    <xf numFmtId="0" fontId="1" fillId="0" borderId="0" xfId="0" applyFont="1"/>
    <xf numFmtId="0" fontId="1"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50FB3-F61C-47DF-9F9D-09B36B0EB91E}">
  <dimension ref="A2:B25"/>
  <sheetViews>
    <sheetView topLeftCell="A7" zoomScale="145" zoomScaleNormal="145" workbookViewId="0">
      <selection activeCell="A24" sqref="A24"/>
    </sheetView>
  </sheetViews>
  <sheetFormatPr defaultRowHeight="14.4" x14ac:dyDescent="0.3"/>
  <cols>
    <col min="1" max="1" width="106.5546875" bestFit="1" customWidth="1"/>
    <col min="2" max="2" width="14.88671875" bestFit="1" customWidth="1"/>
  </cols>
  <sheetData>
    <row r="2" spans="1:2" x14ac:dyDescent="0.3">
      <c r="A2" s="17" t="s">
        <v>27</v>
      </c>
    </row>
    <row r="4" spans="1:2" x14ac:dyDescent="0.3">
      <c r="A4" t="s">
        <v>38</v>
      </c>
    </row>
    <row r="5" spans="1:2" x14ac:dyDescent="0.3">
      <c r="A5" t="s">
        <v>20</v>
      </c>
    </row>
    <row r="6" spans="1:2" x14ac:dyDescent="0.3">
      <c r="A6" s="16" t="s">
        <v>35</v>
      </c>
    </row>
    <row r="7" spans="1:2" x14ac:dyDescent="0.3">
      <c r="B7" s="3" t="s">
        <v>2</v>
      </c>
    </row>
    <row r="8" spans="1:2" x14ac:dyDescent="0.3">
      <c r="A8" s="4" t="s">
        <v>33</v>
      </c>
      <c r="B8" s="4">
        <v>25</v>
      </c>
    </row>
    <row r="9" spans="1:2" x14ac:dyDescent="0.3">
      <c r="A9" s="6" t="s">
        <v>1</v>
      </c>
      <c r="B9" s="5">
        <f>SUM(B8:B8)</f>
        <v>25</v>
      </c>
    </row>
    <row r="11" spans="1:2" x14ac:dyDescent="0.3">
      <c r="A11" s="2" t="s">
        <v>6</v>
      </c>
    </row>
    <row r="12" spans="1:2" x14ac:dyDescent="0.3">
      <c r="A12" s="2" t="s">
        <v>36</v>
      </c>
    </row>
    <row r="14" spans="1:2" x14ac:dyDescent="0.3">
      <c r="A14" s="7" t="s">
        <v>4</v>
      </c>
    </row>
    <row r="15" spans="1:2" x14ac:dyDescent="0.3">
      <c r="A15" s="7" t="s">
        <v>30</v>
      </c>
    </row>
    <row r="16" spans="1:2" x14ac:dyDescent="0.3">
      <c r="A16" s="7" t="s">
        <v>31</v>
      </c>
    </row>
    <row r="17" spans="1:1" x14ac:dyDescent="0.3">
      <c r="A17" s="7" t="s">
        <v>37</v>
      </c>
    </row>
    <row r="18" spans="1:1" x14ac:dyDescent="0.3">
      <c r="A18" s="7" t="s">
        <v>34</v>
      </c>
    </row>
    <row r="19" spans="1:1" x14ac:dyDescent="0.3">
      <c r="A19" s="7" t="s">
        <v>39</v>
      </c>
    </row>
    <row r="20" spans="1:1" x14ac:dyDescent="0.3">
      <c r="A20" s="7" t="s">
        <v>40</v>
      </c>
    </row>
    <row r="21" spans="1:1" x14ac:dyDescent="0.3">
      <c r="A21" s="7" t="s">
        <v>5</v>
      </c>
    </row>
    <row r="22" spans="1:1" x14ac:dyDescent="0.3">
      <c r="A22" s="7" t="s">
        <v>28</v>
      </c>
    </row>
    <row r="23" spans="1:1" x14ac:dyDescent="0.3">
      <c r="A23" s="7" t="s">
        <v>29</v>
      </c>
    </row>
    <row r="24" spans="1:1" x14ac:dyDescent="0.3">
      <c r="A24" s="8" t="s">
        <v>32</v>
      </c>
    </row>
    <row r="25" spans="1:1" x14ac:dyDescent="0.3">
      <c r="A25" s="7" t="s">
        <v>41</v>
      </c>
    </row>
  </sheetData>
  <pageMargins left="0.7" right="0.7" top="0.75" bottom="0.75" header="0.3" footer="0.3"/>
  <pageSetup paperSize="3276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509B-A0E3-4ECA-B1C9-A35229B531C9}">
  <dimension ref="A1:C14"/>
  <sheetViews>
    <sheetView tabSelected="1" topLeftCell="A10" zoomScale="160" zoomScaleNormal="160" workbookViewId="0">
      <selection activeCell="C14" sqref="C14"/>
    </sheetView>
  </sheetViews>
  <sheetFormatPr defaultRowHeight="14.4" x14ac:dyDescent="0.3"/>
  <cols>
    <col min="1" max="1" width="5.88671875" bestFit="1" customWidth="1"/>
    <col min="2" max="2" width="7.5546875" bestFit="1" customWidth="1"/>
    <col min="3" max="3" width="132.88671875" customWidth="1"/>
  </cols>
  <sheetData>
    <row r="1" spans="1:3" x14ac:dyDescent="0.3">
      <c r="A1" s="1" t="s">
        <v>0</v>
      </c>
      <c r="B1" s="1" t="s">
        <v>2</v>
      </c>
      <c r="C1" s="1" t="s">
        <v>3</v>
      </c>
    </row>
    <row r="2" spans="1:3" ht="72" x14ac:dyDescent="0.3">
      <c r="A2" s="9" t="s">
        <v>7</v>
      </c>
      <c r="B2" s="9">
        <v>2.5</v>
      </c>
      <c r="C2" s="10" t="s">
        <v>19</v>
      </c>
    </row>
    <row r="3" spans="1:3" ht="43.2" x14ac:dyDescent="0.3">
      <c r="A3" s="9" t="s">
        <v>8</v>
      </c>
      <c r="B3" s="9">
        <v>2.5</v>
      </c>
      <c r="C3" s="10" t="s">
        <v>42</v>
      </c>
    </row>
    <row r="4" spans="1:3" ht="72" x14ac:dyDescent="0.3">
      <c r="A4" s="11" t="s">
        <v>9</v>
      </c>
      <c r="B4" s="11">
        <v>2.5</v>
      </c>
      <c r="C4" s="12" t="s">
        <v>43</v>
      </c>
    </row>
    <row r="5" spans="1:3" ht="43.2" x14ac:dyDescent="0.3">
      <c r="A5" s="11" t="s">
        <v>10</v>
      </c>
      <c r="B5" s="11">
        <v>1.5</v>
      </c>
      <c r="C5" s="12" t="s">
        <v>21</v>
      </c>
    </row>
    <row r="6" spans="1:3" ht="86.4" x14ac:dyDescent="0.3">
      <c r="A6" s="11" t="s">
        <v>11</v>
      </c>
      <c r="B6" s="11">
        <v>2.5</v>
      </c>
      <c r="C6" s="12" t="s">
        <v>44</v>
      </c>
    </row>
    <row r="7" spans="1:3" ht="129.6" x14ac:dyDescent="0.3">
      <c r="A7" s="11" t="s">
        <v>12</v>
      </c>
      <c r="B7" s="11">
        <v>2.5</v>
      </c>
      <c r="C7" s="12" t="s">
        <v>45</v>
      </c>
    </row>
    <row r="8" spans="1:3" ht="43.2" x14ac:dyDescent="0.3">
      <c r="A8" s="11" t="s">
        <v>13</v>
      </c>
      <c r="B8" s="11">
        <v>1</v>
      </c>
      <c r="C8" s="12" t="s">
        <v>25</v>
      </c>
    </row>
    <row r="9" spans="1:3" ht="28.8" x14ac:dyDescent="0.3">
      <c r="A9" s="13" t="s">
        <v>14</v>
      </c>
      <c r="B9" s="13">
        <v>2.5</v>
      </c>
      <c r="C9" s="14" t="s">
        <v>22</v>
      </c>
    </row>
    <row r="10" spans="1:3" ht="28.8" x14ac:dyDescent="0.3">
      <c r="A10" s="13" t="s">
        <v>15</v>
      </c>
      <c r="B10" s="13">
        <v>1.5</v>
      </c>
      <c r="C10" s="14" t="s">
        <v>46</v>
      </c>
    </row>
    <row r="11" spans="1:3" ht="28.8" x14ac:dyDescent="0.3">
      <c r="A11" s="13" t="s">
        <v>16</v>
      </c>
      <c r="B11" s="13">
        <v>2.5</v>
      </c>
      <c r="C11" s="14" t="s">
        <v>23</v>
      </c>
    </row>
    <row r="12" spans="1:3" ht="86.4" x14ac:dyDescent="0.3">
      <c r="A12" s="13" t="s">
        <v>17</v>
      </c>
      <c r="B12" s="13">
        <v>2.5</v>
      </c>
      <c r="C12" s="14" t="s">
        <v>24</v>
      </c>
    </row>
    <row r="13" spans="1:3" ht="72" x14ac:dyDescent="0.3">
      <c r="A13" s="13" t="s">
        <v>18</v>
      </c>
      <c r="B13" s="13">
        <v>1</v>
      </c>
      <c r="C13" s="14" t="s">
        <v>47</v>
      </c>
    </row>
    <row r="14" spans="1:3" x14ac:dyDescent="0.3">
      <c r="A14" s="15" t="s">
        <v>26</v>
      </c>
      <c r="B14" s="15">
        <f>SUM(B2:B13)</f>
        <v>25</v>
      </c>
      <c r="C1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Schedule</vt:lpstr>
      <vt:lpstr>Teme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Florin</dc:creator>
  <cp:lastModifiedBy>Florin-Silviu DUMITRU (12978)</cp:lastModifiedBy>
  <dcterms:created xsi:type="dcterms:W3CDTF">2021-03-07T15:08:31Z</dcterms:created>
  <dcterms:modified xsi:type="dcterms:W3CDTF">2026-04-21T12:27:17Z</dcterms:modified>
</cp:coreProperties>
</file>